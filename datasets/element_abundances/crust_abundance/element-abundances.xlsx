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eeasher/Desktop/Masters/mp/"/>
    </mc:Choice>
  </mc:AlternateContent>
  <xr:revisionPtr revIDLastSave="0" documentId="8_{3120D8B6-6502-374C-803F-5C520059E18F}" xr6:coauthVersionLast="47" xr6:coauthVersionMax="47" xr10:uidLastSave="{00000000-0000-0000-0000-000000000000}"/>
  <bookViews>
    <workbookView xWindow="4980" yWindow="1900" windowWidth="29060" windowHeight="15860" xr2:uid="{92E5B0B3-641F-4E03-8B49-339DBE1143DF}"/>
  </bookViews>
  <sheets>
    <sheet name="crust abundance" sheetId="3" r:id="rId1"/>
  </sheets>
  <definedNames>
    <definedName name="ExternalData_2" localSheetId="0" hidden="1">'crust abundance'!$A$1:$B$1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 a="1"/>
  <c r="B35" i="3" s="1"/>
  <c r="B43" i="3"/>
  <c r="B19" i="3" a="1"/>
  <c r="B19" i="3" s="1"/>
  <c r="B25" i="3" a="1"/>
  <c r="B25" i="3" s="1"/>
  <c r="B30" i="3" a="1"/>
  <c r="B30" i="3" s="1"/>
  <c r="B84" i="3" a="1"/>
  <c r="B84" i="3" s="1"/>
  <c r="B21" i="3" a="1"/>
  <c r="B21" i="3" s="1"/>
  <c r="B63" i="3" a="1"/>
  <c r="B63" i="3" s="1"/>
  <c r="B61" i="3" a="1"/>
  <c r="B61" i="3" s="1"/>
  <c r="B10" i="3" a="1"/>
  <c r="B10" i="3" s="1"/>
  <c r="B81" i="3" a="1"/>
  <c r="B81" i="3" s="1"/>
  <c r="B16" i="3" a="1"/>
  <c r="B16" i="3" s="1"/>
  <c r="B3" i="3" a="1"/>
  <c r="B3" i="3" s="1"/>
  <c r="B70" i="3" a="1"/>
  <c r="B70" i="3" s="1"/>
  <c r="B32" i="3" a="1"/>
  <c r="B32" i="3" s="1"/>
  <c r="B66" i="3" a="1"/>
  <c r="B66" i="3" s="1"/>
  <c r="B17" i="3" a="1"/>
  <c r="B17" i="3" s="1"/>
  <c r="B80" i="3" a="1"/>
  <c r="B80" i="3"/>
  <c r="B89" i="3" a="1"/>
  <c r="B89" i="3" s="1"/>
  <c r="B79" i="3" a="1"/>
  <c r="B79" i="3" s="1"/>
  <c r="B82" i="3" a="1"/>
  <c r="B82" i="3" s="1"/>
  <c r="B23" i="3" a="1"/>
  <c r="B23" i="3" s="1"/>
  <c r="B86" i="3" a="1"/>
  <c r="B86" i="3" s="1"/>
  <c r="B75" i="3" a="1"/>
  <c r="B75" i="3" s="1"/>
  <c r="B88" i="3" a="1"/>
  <c r="B88" i="3" s="1"/>
  <c r="B71" i="3" a="1"/>
  <c r="B71" i="3" s="1"/>
  <c r="B37" i="3" a="1"/>
  <c r="B37" i="3" s="1"/>
  <c r="B85" i="3" a="1"/>
  <c r="B85" i="3" s="1"/>
  <c r="B12" i="3" a="1"/>
  <c r="B12" i="3" s="1"/>
  <c r="B77" i="3" a="1"/>
  <c r="B77" i="3" s="1"/>
  <c r="B2" i="3" a="1"/>
  <c r="B2" i="3" s="1"/>
  <c r="B24" i="3" a="1"/>
  <c r="B24" i="3" s="1"/>
  <c r="B74" i="3" a="1"/>
  <c r="B74" i="3" s="1"/>
  <c r="B28" i="3" a="1"/>
  <c r="B28" i="3" s="1"/>
  <c r="B34" i="3" a="1"/>
  <c r="B34" i="3" s="1"/>
  <c r="B7" i="3" a="1"/>
  <c r="B7" i="3" s="1"/>
  <c r="B36" i="3" a="1"/>
  <c r="B36" i="3" s="1"/>
  <c r="B13" i="3" a="1"/>
  <c r="B13" i="3" s="1"/>
  <c r="B8" i="3" a="1"/>
  <c r="B8" i="3" s="1"/>
  <c r="B62" i="3" a="1"/>
  <c r="B62" i="3" s="1"/>
  <c r="B33" i="3" a="1"/>
  <c r="B33" i="3" s="1"/>
  <c r="B29" i="3" a="1"/>
  <c r="B29" i="3" s="1"/>
  <c r="B83" i="3" a="1"/>
  <c r="B83" i="3" s="1"/>
  <c r="B9" i="3" a="1"/>
  <c r="B9" i="3" s="1"/>
  <c r="B78" i="3" a="1"/>
  <c r="B78" i="3" s="1"/>
  <c r="B65" i="3" a="1"/>
  <c r="B65" i="3" s="1"/>
  <c r="B64" i="3" a="1"/>
  <c r="B64" i="3" s="1"/>
  <c r="B68" i="3" a="1"/>
  <c r="B68" i="3" s="1"/>
  <c r="B73" i="3" a="1"/>
  <c r="B73" i="3" s="1"/>
  <c r="B11" i="3" a="1"/>
  <c r="B11" i="3" s="1"/>
  <c r="B5" i="3" a="1"/>
  <c r="B5" i="3" s="1"/>
  <c r="B14" i="3" a="1"/>
  <c r="B14" i="3" s="1"/>
  <c r="B27" i="3" a="1"/>
  <c r="B27" i="3" s="1"/>
  <c r="B22" i="3" a="1"/>
  <c r="B22" i="3" s="1"/>
  <c r="B31" i="3" a="1"/>
  <c r="B31" i="3" s="1"/>
  <c r="B20" i="3" a="1"/>
  <c r="B20" i="3" s="1"/>
  <c r="B26" i="3" a="1"/>
  <c r="B26" i="3" s="1"/>
  <c r="B67" i="3" a="1"/>
  <c r="B67" i="3" s="1"/>
  <c r="B6" i="3" a="1"/>
  <c r="B6" i="3" s="1"/>
  <c r="B18" i="3" a="1"/>
  <c r="B18" i="3" s="1"/>
  <c r="B72" i="3" a="1"/>
  <c r="B72" i="3" s="1"/>
  <c r="B15" i="3" a="1"/>
  <c r="B15" i="3" s="1"/>
  <c r="B38" i="3" a="1"/>
  <c r="B38" i="3" s="1"/>
  <c r="B76" i="3"/>
  <c r="B4" i="3"/>
  <c r="B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05ACC-5C67-4D13-AD1E-B820FAC71BC2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A22944B-EFDC-4AEE-A972-77596BEA0EE1}" keepAlive="1" name="Query - Table001__Page_1" description="Connection to the 'Table001__Page_1' query in the workbook." type="5" refreshedVersion="8" background="1" saveData="1">
    <dbPr connection="Provider=Microsoft.Mashup.OleDb.1;Data Source=$Workbook$;Location=Table001__Page_1;Extended Properties=&quot;&quot;" command="SELECT * FROM [Table001__Page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<sst xmlns="http://schemas.openxmlformats.org/spreadsheetml/2006/main" count="96" uniqueCount="96">
  <si>
    <t>Element</t>
  </si>
  <si>
    <t>Ac</t>
  </si>
  <si>
    <t>N</t>
  </si>
  <si>
    <t>Ag</t>
  </si>
  <si>
    <t>Na</t>
  </si>
  <si>
    <t>Al</t>
  </si>
  <si>
    <t>Nb</t>
  </si>
  <si>
    <t>Ar</t>
  </si>
  <si>
    <t>Nd</t>
  </si>
  <si>
    <t>As</t>
  </si>
  <si>
    <t>Ne</t>
  </si>
  <si>
    <t>Au</t>
  </si>
  <si>
    <t>Ni</t>
  </si>
  <si>
    <t>B</t>
  </si>
  <si>
    <t>O</t>
  </si>
  <si>
    <t>Ba</t>
  </si>
  <si>
    <t>Os</t>
  </si>
  <si>
    <t>Be</t>
  </si>
  <si>
    <t>P</t>
  </si>
  <si>
    <t>Bi</t>
  </si>
  <si>
    <t>Pa</t>
  </si>
  <si>
    <t>Br</t>
  </si>
  <si>
    <t>Pb</t>
  </si>
  <si>
    <t>C</t>
  </si>
  <si>
    <t>Pd</t>
  </si>
  <si>
    <t>Ca</t>
  </si>
  <si>
    <t>Po</t>
  </si>
  <si>
    <t>Cd</t>
  </si>
  <si>
    <t>Pr</t>
  </si>
  <si>
    <t>Ce</t>
  </si>
  <si>
    <t>Pt</t>
  </si>
  <si>
    <t>Cl</t>
  </si>
  <si>
    <t>Ra</t>
  </si>
  <si>
    <t>Co</t>
  </si>
  <si>
    <t>Rb</t>
  </si>
  <si>
    <t>Cr</t>
  </si>
  <si>
    <t>Re</t>
  </si>
  <si>
    <t>Cs</t>
  </si>
  <si>
    <t>Rh</t>
  </si>
  <si>
    <t>Cu</t>
  </si>
  <si>
    <t>Rn</t>
  </si>
  <si>
    <t>Dy</t>
  </si>
  <si>
    <t>Ru</t>
  </si>
  <si>
    <t>Er</t>
  </si>
  <si>
    <t>S</t>
  </si>
  <si>
    <t>Eu</t>
  </si>
  <si>
    <t>Sb</t>
  </si>
  <si>
    <t>F</t>
  </si>
  <si>
    <t>Sc</t>
  </si>
  <si>
    <t>Fe</t>
  </si>
  <si>
    <t>Se</t>
  </si>
  <si>
    <t>Ga</t>
  </si>
  <si>
    <t>Si</t>
  </si>
  <si>
    <t>Gd</t>
  </si>
  <si>
    <t>Sm</t>
  </si>
  <si>
    <t>Ge</t>
  </si>
  <si>
    <t>Sn</t>
  </si>
  <si>
    <t>H</t>
  </si>
  <si>
    <t>Sr</t>
  </si>
  <si>
    <t>He</t>
  </si>
  <si>
    <t>Ta</t>
  </si>
  <si>
    <t>Hf</t>
  </si>
  <si>
    <t>Tb</t>
  </si>
  <si>
    <t>Hg</t>
  </si>
  <si>
    <t>Te</t>
  </si>
  <si>
    <t>Ho</t>
  </si>
  <si>
    <t>Th</t>
  </si>
  <si>
    <t>I</t>
  </si>
  <si>
    <t>Ti</t>
  </si>
  <si>
    <t>In</t>
  </si>
  <si>
    <t>Tl</t>
  </si>
  <si>
    <t>Ir</t>
  </si>
  <si>
    <t>Tm</t>
  </si>
  <si>
    <t>K</t>
  </si>
  <si>
    <t>U</t>
  </si>
  <si>
    <t>Kr</t>
  </si>
  <si>
    <t>V</t>
  </si>
  <si>
    <t>La</t>
  </si>
  <si>
    <t>W</t>
  </si>
  <si>
    <t>Li</t>
  </si>
  <si>
    <t>Xe</t>
  </si>
  <si>
    <t>Lu</t>
  </si>
  <si>
    <t>Y</t>
  </si>
  <si>
    <t>Mg</t>
  </si>
  <si>
    <t>Yb</t>
  </si>
  <si>
    <t>Mn</t>
  </si>
  <si>
    <t>Zn</t>
  </si>
  <si>
    <t>Mo</t>
  </si>
  <si>
    <t>Zr</t>
  </si>
  <si>
    <t>Tc</t>
  </si>
  <si>
    <t>Pm</t>
  </si>
  <si>
    <t>At</t>
  </si>
  <si>
    <t>Fr</t>
  </si>
  <si>
    <t>Np</t>
  </si>
  <si>
    <t>Pu</t>
  </si>
  <si>
    <t>Crust Abundance [mg/kg]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</si>
</sst>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1B1819"/>
      <name val="Helvetica"/>
      <family val="2"/>
    </font>
    <font>
      <sz val="16"/>
      <color rgb="FF202122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2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733E-2B0D-410C-BBCA-7B60156F3B05}">
  <dimension ref="A1:F95"/>
  <sheetViews>
    <sheetView tabSelected="1" workbookViewId="0">
      <selection activeCell="C2" sqref="C2:C3"/>
    </sheetView>
  </sheetViews>
  <sheetFormatPr baseColWidth="10" defaultColWidth="8.83203125" defaultRowHeight="15" x14ac:dyDescent="0.2"/>
  <cols>
    <col min="1" max="1" width="11.33203125" bestFit="1" customWidth="1"/>
    <col min="2" max="2" width="29.33203125" bestFit="1" customWidth="1"/>
    <col min="6" max="6" width="22.83203125" customWidth="1"/>
    <col min="10" max="10" width="46.83203125" customWidth="1"/>
  </cols>
  <sheetData>
    <row r="1" spans="1:6" ht="21" x14ac:dyDescent="0.25">
      <c r="A1" s="3" t="s">
        <v>0</v>
      </c>
      <c r="B1" s="4" t="s">
        <v>95</v>
      </c>
    </row>
    <row r="2" spans="1:6" ht="21" x14ac:dyDescent="0.25">
      <c r="A2" s="3" t="s">
        <v>14</v>
      </c>
      <c r="B2" s="4" cm="1">
        <f t="array" ref="B2">4.61 * 10^{5}</f>
        <v>461000.00000000006</v>
      </c>
    </row>
    <row r="3" spans="1:6" ht="21" x14ac:dyDescent="0.25">
      <c r="A3" s="3" t="s">
        <v>52</v>
      </c>
      <c r="B3" s="4" cm="1">
        <f t="array" ref="B3">2.82 * 10^{5}</f>
        <v>282000</v>
      </c>
    </row>
    <row r="4" spans="1:6" ht="21" x14ac:dyDescent="0.25">
      <c r="A4" s="3" t="s">
        <v>5</v>
      </c>
      <c r="B4" s="4">
        <f>8.23 * 10^4</f>
        <v>82300</v>
      </c>
    </row>
    <row r="5" spans="1:6" ht="21" x14ac:dyDescent="0.25">
      <c r="A5" s="3" t="s">
        <v>49</v>
      </c>
      <c r="B5" s="4" cm="1">
        <f t="array" ref="B5">5.63 * 10^{4}</f>
        <v>56300</v>
      </c>
      <c r="F5" s="2"/>
    </row>
    <row r="6" spans="1:6" ht="21" x14ac:dyDescent="0.25">
      <c r="A6" s="3" t="s">
        <v>25</v>
      </c>
      <c r="B6" s="4" cm="1">
        <f t="array" ref="B6">4.15 * 10^{4}</f>
        <v>41500</v>
      </c>
      <c r="E6" s="1"/>
      <c r="F6" s="2"/>
    </row>
    <row r="7" spans="1:6" ht="21" x14ac:dyDescent="0.25">
      <c r="A7" s="3" t="s">
        <v>4</v>
      </c>
      <c r="B7" s="4" cm="1">
        <f t="array" ref="B7">2.36 * 10^{4}</f>
        <v>23600</v>
      </c>
      <c r="F7" s="2"/>
    </row>
    <row r="8" spans="1:6" ht="21" x14ac:dyDescent="0.25">
      <c r="A8" s="3" t="s">
        <v>83</v>
      </c>
      <c r="B8" s="4" cm="1">
        <f t="array" ref="B8">2.33 * 10^{4}</f>
        <v>23300</v>
      </c>
    </row>
    <row r="9" spans="1:6" ht="21" x14ac:dyDescent="0.25">
      <c r="A9" s="3" t="s">
        <v>73</v>
      </c>
      <c r="B9" s="4" cm="1">
        <f t="array" ref="B9">2.09 * 10^{4}</f>
        <v>20900</v>
      </c>
    </row>
    <row r="10" spans="1:6" ht="21" x14ac:dyDescent="0.25">
      <c r="A10" s="3" t="s">
        <v>68</v>
      </c>
      <c r="B10" s="4" cm="1">
        <f t="array" ref="B10">5.65 * 10^{3}</f>
        <v>5650</v>
      </c>
    </row>
    <row r="11" spans="1:6" ht="21" x14ac:dyDescent="0.25">
      <c r="A11" s="3" t="s">
        <v>57</v>
      </c>
      <c r="B11" s="4" cm="1">
        <f t="array" ref="B11">1.4 * 10^{3}</f>
        <v>1400</v>
      </c>
    </row>
    <row r="12" spans="1:6" ht="21" x14ac:dyDescent="0.25">
      <c r="A12" s="3" t="s">
        <v>18</v>
      </c>
      <c r="B12" s="4" cm="1">
        <f t="array" ref="B12">1.05 * 10^{3}</f>
        <v>1050</v>
      </c>
    </row>
    <row r="13" spans="1:6" ht="21" x14ac:dyDescent="0.25">
      <c r="A13" s="3" t="s">
        <v>85</v>
      </c>
      <c r="B13" s="4" cm="1">
        <f t="array" ref="B13">9.5 * 10^{2}</f>
        <v>950</v>
      </c>
    </row>
    <row r="14" spans="1:6" ht="21" x14ac:dyDescent="0.25">
      <c r="A14" s="3" t="s">
        <v>47</v>
      </c>
      <c r="B14" s="4" cm="1">
        <f t="array" ref="B14">5.85 * 10^{2}</f>
        <v>585</v>
      </c>
    </row>
    <row r="15" spans="1:6" ht="21" x14ac:dyDescent="0.25">
      <c r="A15" s="3" t="s">
        <v>15</v>
      </c>
      <c r="B15" s="4" cm="1">
        <f t="array" ref="B15">4.25 * 10^{2}</f>
        <v>425</v>
      </c>
    </row>
    <row r="16" spans="1:6" ht="21" x14ac:dyDescent="0.25">
      <c r="A16" s="3" t="s">
        <v>58</v>
      </c>
      <c r="B16" s="4" cm="1">
        <f t="array" ref="B16">3.7 * 10^{2}</f>
        <v>370</v>
      </c>
    </row>
    <row r="17" spans="1:2" ht="21" x14ac:dyDescent="0.25">
      <c r="A17" s="3" t="s">
        <v>44</v>
      </c>
      <c r="B17" s="4" cm="1">
        <f t="array" ref="B17">3.5 * 10^{2}</f>
        <v>350</v>
      </c>
    </row>
    <row r="18" spans="1:2" ht="21" x14ac:dyDescent="0.25">
      <c r="A18" s="3" t="s">
        <v>23</v>
      </c>
      <c r="B18" s="4" cm="1">
        <f t="array" ref="B18">2 * 10^{2}</f>
        <v>200</v>
      </c>
    </row>
    <row r="19" spans="1:2" ht="21" x14ac:dyDescent="0.25">
      <c r="A19" s="3" t="s">
        <v>88</v>
      </c>
      <c r="B19" s="4" cm="1">
        <f t="array" ref="B19">1.65 * 10^{2}</f>
        <v>165</v>
      </c>
    </row>
    <row r="20" spans="1:2" ht="21" x14ac:dyDescent="0.25">
      <c r="A20" s="3" t="s">
        <v>31</v>
      </c>
      <c r="B20" s="4" cm="1">
        <f t="array" ref="B20">1.45 * 10^{2}</f>
        <v>145</v>
      </c>
    </row>
    <row r="21" spans="1:2" ht="21" x14ac:dyDescent="0.25">
      <c r="A21" s="3" t="s">
        <v>76</v>
      </c>
      <c r="B21" s="4" cm="1">
        <f t="array" ref="B21">1.2 * 10^{2}</f>
        <v>120</v>
      </c>
    </row>
    <row r="22" spans="1:2" ht="21" x14ac:dyDescent="0.25">
      <c r="A22" s="3" t="s">
        <v>35</v>
      </c>
      <c r="B22" s="4" cm="1">
        <f t="array" ref="B22">1.02 * 10^{2}</f>
        <v>102</v>
      </c>
    </row>
    <row r="23" spans="1:2" ht="21" x14ac:dyDescent="0.25">
      <c r="A23" s="3" t="s">
        <v>34</v>
      </c>
      <c r="B23" s="4" cm="1">
        <f t="array" ref="B23">9 * 10^{1}</f>
        <v>90</v>
      </c>
    </row>
    <row r="24" spans="1:2" ht="21" x14ac:dyDescent="0.25">
      <c r="A24" s="3" t="s">
        <v>12</v>
      </c>
      <c r="B24" s="4" cm="1">
        <f t="array" ref="B24">8.4 * 10^{1}</f>
        <v>84</v>
      </c>
    </row>
    <row r="25" spans="1:2" ht="21" x14ac:dyDescent="0.25">
      <c r="A25" s="3" t="s">
        <v>86</v>
      </c>
      <c r="B25" s="4" cm="1">
        <f t="array" ref="B25">7 * 10^{1}</f>
        <v>70</v>
      </c>
    </row>
    <row r="26" spans="1:2" ht="21" x14ac:dyDescent="0.25">
      <c r="A26" s="3" t="s">
        <v>29</v>
      </c>
      <c r="B26" s="4" cm="1">
        <f t="array" ref="B26">6.65 * 10^{1}</f>
        <v>66.5</v>
      </c>
    </row>
    <row r="27" spans="1:2" ht="21" x14ac:dyDescent="0.25">
      <c r="A27" s="3" t="s">
        <v>39</v>
      </c>
      <c r="B27" s="4" cm="1">
        <f t="array" ref="B27">6 * 10^{1}</f>
        <v>60</v>
      </c>
    </row>
    <row r="28" spans="1:2" ht="21" x14ac:dyDescent="0.25">
      <c r="A28" s="3" t="s">
        <v>8</v>
      </c>
      <c r="B28" s="4" cm="1">
        <f t="array" ref="B28">4.15 * 10^{1}</f>
        <v>41.5</v>
      </c>
    </row>
    <row r="29" spans="1:2" ht="21" x14ac:dyDescent="0.25">
      <c r="A29" s="3" t="s">
        <v>77</v>
      </c>
      <c r="B29" s="4" cm="1">
        <f t="array" ref="B29">3.9 * 10^{1}</f>
        <v>39</v>
      </c>
    </row>
    <row r="30" spans="1:2" ht="21" x14ac:dyDescent="0.25">
      <c r="A30" s="3" t="s">
        <v>82</v>
      </c>
      <c r="B30" s="4" cm="1">
        <f t="array" ref="B30">3.3 * 10^{1}</f>
        <v>33</v>
      </c>
    </row>
    <row r="31" spans="1:2" ht="21" x14ac:dyDescent="0.25">
      <c r="A31" s="3" t="s">
        <v>33</v>
      </c>
      <c r="B31" s="4" cm="1">
        <f t="array" ref="B31">2.5 * 10^{1}</f>
        <v>25</v>
      </c>
    </row>
    <row r="32" spans="1:2" ht="21" x14ac:dyDescent="0.25">
      <c r="A32" s="3" t="s">
        <v>48</v>
      </c>
      <c r="B32" s="4" cm="1">
        <f t="array" ref="B32">2.2 * 10^{1}</f>
        <v>22</v>
      </c>
    </row>
    <row r="33" spans="1:3" ht="21" x14ac:dyDescent="0.25">
      <c r="A33" s="3" t="s">
        <v>79</v>
      </c>
      <c r="B33" s="4" cm="1">
        <f t="array" ref="B33">2 * 10^{1}</f>
        <v>20</v>
      </c>
      <c r="C33" s="5"/>
    </row>
    <row r="34" spans="1:3" ht="21" x14ac:dyDescent="0.25">
      <c r="A34" s="3" t="s">
        <v>6</v>
      </c>
      <c r="B34" s="4" cm="1">
        <f t="array" ref="B34">2 * 10^{1}</f>
        <v>20</v>
      </c>
      <c r="C34" s="5"/>
    </row>
    <row r="35" spans="1:3" ht="21" x14ac:dyDescent="0.25">
      <c r="A35" s="3" t="s">
        <v>2</v>
      </c>
      <c r="B35" s="4" cm="1">
        <f t="array" ref="B35">1.9 * 10^{1}</f>
        <v>19</v>
      </c>
      <c r="C35" s="5"/>
    </row>
    <row r="36" spans="1:3" ht="21" x14ac:dyDescent="0.25">
      <c r="A36" s="3" t="s">
        <v>51</v>
      </c>
      <c r="B36" s="4" cm="1">
        <f t="array" ref="B36">1.9 * 10^{1}</f>
        <v>19</v>
      </c>
      <c r="C36" s="5"/>
    </row>
    <row r="37" spans="1:3" ht="21" x14ac:dyDescent="0.25">
      <c r="A37" s="3" t="s">
        <v>22</v>
      </c>
      <c r="B37" s="4" cm="1">
        <f t="array" ref="B37">1.4 * 10^{1}</f>
        <v>14</v>
      </c>
    </row>
    <row r="38" spans="1:3" ht="21" x14ac:dyDescent="0.25">
      <c r="A38" s="3" t="s">
        <v>13</v>
      </c>
      <c r="B38" s="4" cm="1">
        <f t="array" ref="B38">1 * 10^{1}</f>
        <v>10</v>
      </c>
    </row>
    <row r="39" spans="1:3" ht="21" x14ac:dyDescent="0.25">
      <c r="A39" s="3" t="s">
        <v>66</v>
      </c>
      <c r="B39" s="4">
        <v>9.6</v>
      </c>
    </row>
    <row r="40" spans="1:3" ht="21" x14ac:dyDescent="0.25">
      <c r="A40" s="3" t="s">
        <v>28</v>
      </c>
      <c r="B40" s="4">
        <v>9.1999999999999993</v>
      </c>
    </row>
    <row r="41" spans="1:3" ht="21" x14ac:dyDescent="0.25">
      <c r="A41" s="3" t="s">
        <v>54</v>
      </c>
      <c r="B41" s="4">
        <v>7.05</v>
      </c>
    </row>
    <row r="42" spans="1:3" ht="21" x14ac:dyDescent="0.25">
      <c r="A42" s="3" t="s">
        <v>53</v>
      </c>
      <c r="B42" s="4">
        <v>6.2</v>
      </c>
    </row>
    <row r="43" spans="1:3" ht="21" x14ac:dyDescent="0.25">
      <c r="A43" s="3" t="s">
        <v>41</v>
      </c>
      <c r="B43" s="4">
        <f>5.2</f>
        <v>5.2</v>
      </c>
    </row>
    <row r="44" spans="1:3" ht="21" x14ac:dyDescent="0.25">
      <c r="A44" s="3" t="s">
        <v>43</v>
      </c>
      <c r="B44" s="4">
        <v>3.5</v>
      </c>
      <c r="C44" s="5"/>
    </row>
    <row r="45" spans="1:3" ht="21" x14ac:dyDescent="0.25">
      <c r="A45" s="3" t="s">
        <v>7</v>
      </c>
      <c r="B45" s="4">
        <v>3.5</v>
      </c>
      <c r="C45" s="5"/>
    </row>
    <row r="46" spans="1:3" ht="21" x14ac:dyDescent="0.25">
      <c r="A46" s="3" t="s">
        <v>84</v>
      </c>
      <c r="B46" s="4">
        <v>3.2</v>
      </c>
    </row>
    <row r="47" spans="1:3" ht="21" x14ac:dyDescent="0.25">
      <c r="A47" s="3" t="s">
        <v>61</v>
      </c>
      <c r="B47" s="4">
        <v>3</v>
      </c>
      <c r="C47" s="5"/>
    </row>
    <row r="48" spans="1:3" ht="21" x14ac:dyDescent="0.25">
      <c r="A48" s="3" t="s">
        <v>37</v>
      </c>
      <c r="B48" s="4">
        <v>3</v>
      </c>
      <c r="C48" s="5"/>
    </row>
    <row r="49" spans="1:3" ht="21" x14ac:dyDescent="0.25">
      <c r="A49" s="3" t="s">
        <v>17</v>
      </c>
      <c r="B49" s="4">
        <v>2.8</v>
      </c>
    </row>
    <row r="50" spans="1:3" ht="21" x14ac:dyDescent="0.25">
      <c r="A50" s="3" t="s">
        <v>74</v>
      </c>
      <c r="B50" s="4">
        <v>2.7</v>
      </c>
    </row>
    <row r="51" spans="1:3" ht="21" x14ac:dyDescent="0.25">
      <c r="A51" s="3" t="s">
        <v>21</v>
      </c>
      <c r="B51" s="4">
        <v>2.4</v>
      </c>
    </row>
    <row r="52" spans="1:3" ht="21" x14ac:dyDescent="0.25">
      <c r="A52" s="3" t="s">
        <v>56</v>
      </c>
      <c r="B52" s="4">
        <v>2.2999999999999998</v>
      </c>
    </row>
    <row r="53" spans="1:3" ht="21" x14ac:dyDescent="0.25">
      <c r="A53" s="3" t="s">
        <v>60</v>
      </c>
      <c r="B53" s="4">
        <v>2</v>
      </c>
      <c r="C53" s="5"/>
    </row>
    <row r="54" spans="1:3" ht="21" x14ac:dyDescent="0.25">
      <c r="A54" s="3" t="s">
        <v>45</v>
      </c>
      <c r="B54" s="4">
        <v>2</v>
      </c>
      <c r="C54" s="5"/>
    </row>
    <row r="55" spans="1:3" ht="21" x14ac:dyDescent="0.25">
      <c r="A55" s="3" t="s">
        <v>9</v>
      </c>
      <c r="B55" s="4">
        <v>1.8</v>
      </c>
    </row>
    <row r="56" spans="1:3" ht="21" x14ac:dyDescent="0.25">
      <c r="A56" s="3" t="s">
        <v>55</v>
      </c>
      <c r="B56" s="4">
        <v>1.5</v>
      </c>
    </row>
    <row r="57" spans="1:3" ht="21" x14ac:dyDescent="0.25">
      <c r="A57" s="3" t="s">
        <v>78</v>
      </c>
      <c r="B57" s="4">
        <v>1.3</v>
      </c>
    </row>
    <row r="58" spans="1:3" ht="21" x14ac:dyDescent="0.25">
      <c r="A58" s="3" t="s">
        <v>65</v>
      </c>
      <c r="B58" s="4">
        <v>1.25</v>
      </c>
    </row>
    <row r="59" spans="1:3" ht="21" x14ac:dyDescent="0.25">
      <c r="A59" s="3" t="s">
        <v>87</v>
      </c>
      <c r="B59" s="4">
        <v>1.2</v>
      </c>
      <c r="C59" s="5"/>
    </row>
    <row r="60" spans="1:3" ht="21" x14ac:dyDescent="0.25">
      <c r="A60" s="3" t="s">
        <v>62</v>
      </c>
      <c r="B60" s="4">
        <v>1.2</v>
      </c>
      <c r="C60" s="5"/>
    </row>
    <row r="61" spans="1:3" ht="21" x14ac:dyDescent="0.25">
      <c r="A61" s="3" t="s">
        <v>70</v>
      </c>
      <c r="B61" s="4" cm="1">
        <f t="array" ref="B61">8.5 * 10^{-1}</f>
        <v>0.85000000000000009</v>
      </c>
    </row>
    <row r="62" spans="1:3" ht="21" x14ac:dyDescent="0.25">
      <c r="A62" s="3" t="s">
        <v>81</v>
      </c>
      <c r="B62" s="4" cm="1">
        <f t="array" ref="B62">8 * 10^{-1}</f>
        <v>0.8</v>
      </c>
    </row>
    <row r="63" spans="1:3" ht="21" x14ac:dyDescent="0.25">
      <c r="A63" s="3" t="s">
        <v>72</v>
      </c>
      <c r="B63" s="4" cm="1">
        <f t="array" ref="B63">5.2 * 10^{-1}</f>
        <v>0.52</v>
      </c>
    </row>
    <row r="64" spans="1:3" ht="21" x14ac:dyDescent="0.25">
      <c r="A64" s="3" t="s">
        <v>67</v>
      </c>
      <c r="B64" s="4" cm="1">
        <f t="array" ref="B64">4.5 * 10^{-1}</f>
        <v>0.45</v>
      </c>
    </row>
    <row r="65" spans="1:3" ht="21" x14ac:dyDescent="0.25">
      <c r="A65" s="3" t="s">
        <v>69</v>
      </c>
      <c r="B65" s="4" cm="1">
        <f t="array" ref="B65">2.5 * 10^{-1}</f>
        <v>0.25</v>
      </c>
    </row>
    <row r="66" spans="1:3" ht="21" x14ac:dyDescent="0.25">
      <c r="A66" s="3" t="s">
        <v>46</v>
      </c>
      <c r="B66" s="4" cm="1">
        <f t="array" ref="B66">2 * 10^{-1}</f>
        <v>0.2</v>
      </c>
    </row>
    <row r="67" spans="1:3" ht="21" x14ac:dyDescent="0.25">
      <c r="A67" s="3" t="s">
        <v>27</v>
      </c>
      <c r="B67" s="4" cm="1">
        <f t="array" ref="B67">1.5 * 10^{-1}</f>
        <v>0.15000000000000002</v>
      </c>
    </row>
    <row r="68" spans="1:3" ht="21" x14ac:dyDescent="0.25">
      <c r="A68" s="3" t="s">
        <v>63</v>
      </c>
      <c r="B68" s="4" cm="1">
        <f t="array" ref="B68">8.5 * 10^{-2}</f>
        <v>8.5000000000000006E-2</v>
      </c>
    </row>
    <row r="69" spans="1:3" ht="21" x14ac:dyDescent="0.25">
      <c r="A69" s="3" t="s">
        <v>3</v>
      </c>
      <c r="B69" s="4">
        <f>7.5*10^-2</f>
        <v>7.4999999999999997E-2</v>
      </c>
    </row>
    <row r="70" spans="1:3" ht="21" x14ac:dyDescent="0.25">
      <c r="A70" s="3" t="s">
        <v>50</v>
      </c>
      <c r="B70" s="4" cm="1">
        <f t="array" ref="B70">5 * 10^{-2}</f>
        <v>0.05</v>
      </c>
    </row>
    <row r="71" spans="1:3" ht="21" x14ac:dyDescent="0.25">
      <c r="A71" s="3" t="s">
        <v>24</v>
      </c>
      <c r="B71" s="4" cm="1">
        <f t="array" ref="B71">1.5 * 10^{-2}</f>
        <v>1.4999999999999999E-2</v>
      </c>
    </row>
    <row r="72" spans="1:3" ht="21" x14ac:dyDescent="0.25">
      <c r="A72" s="3" t="s">
        <v>19</v>
      </c>
      <c r="B72" s="4" cm="1">
        <f t="array" ref="B72">8.5 * 10^{-3}</f>
        <v>8.5000000000000006E-3</v>
      </c>
    </row>
    <row r="73" spans="1:3" ht="21" x14ac:dyDescent="0.25">
      <c r="A73" s="3" t="s">
        <v>59</v>
      </c>
      <c r="B73" s="4" cm="1">
        <f t="array" ref="B73">8 * 10^{-3}</f>
        <v>8.0000000000000002E-3</v>
      </c>
    </row>
    <row r="74" spans="1:3" ht="21" x14ac:dyDescent="0.25">
      <c r="A74" s="3" t="s">
        <v>10</v>
      </c>
      <c r="B74" s="4" cm="1">
        <f t="array" ref="B74">5 * 10^{-3}</f>
        <v>5.0000000000000001E-3</v>
      </c>
      <c r="C74" s="5"/>
    </row>
    <row r="75" spans="1:3" ht="21" x14ac:dyDescent="0.25">
      <c r="A75" s="3" t="s">
        <v>30</v>
      </c>
      <c r="B75" s="4" cm="1">
        <f t="array" ref="B75">5 * 10^{-3}</f>
        <v>5.0000000000000001E-3</v>
      </c>
      <c r="C75" s="5"/>
    </row>
    <row r="76" spans="1:3" ht="21" x14ac:dyDescent="0.25">
      <c r="A76" s="3" t="s">
        <v>11</v>
      </c>
      <c r="B76" s="4">
        <f>4 * 10^-3</f>
        <v>4.0000000000000001E-3</v>
      </c>
    </row>
    <row r="77" spans="1:3" ht="21" x14ac:dyDescent="0.25">
      <c r="A77" s="3" t="s">
        <v>16</v>
      </c>
      <c r="B77" s="4" cm="1">
        <f t="array" ref="B77">1.5 * 10^{-3}</f>
        <v>1.5E-3</v>
      </c>
    </row>
    <row r="78" spans="1:3" ht="21" x14ac:dyDescent="0.25">
      <c r="A78" s="3" t="s">
        <v>64</v>
      </c>
      <c r="B78" s="4" cm="1">
        <f t="array" ref="B78">1 * 10^{-3}</f>
        <v>1E-3</v>
      </c>
      <c r="C78" s="5"/>
    </row>
    <row r="79" spans="1:3" ht="21" x14ac:dyDescent="0.25">
      <c r="A79" s="3" t="s">
        <v>42</v>
      </c>
      <c r="B79" s="4" cm="1">
        <f t="array" ref="B79">1 * 10^{-3}</f>
        <v>1E-3</v>
      </c>
      <c r="C79" s="5"/>
    </row>
    <row r="80" spans="1:3" ht="21" x14ac:dyDescent="0.25">
      <c r="A80" s="3" t="s">
        <v>71</v>
      </c>
      <c r="B80" s="4" cm="1">
        <f t="array" ref="B80">1 * 10^{-3}</f>
        <v>1E-3</v>
      </c>
      <c r="C80" s="5"/>
    </row>
    <row r="81" spans="1:3" ht="21" x14ac:dyDescent="0.25">
      <c r="A81" s="3" t="s">
        <v>38</v>
      </c>
      <c r="B81" s="4" cm="1">
        <f t="array" ref="B81">1 * 10^{-3}</f>
        <v>1E-3</v>
      </c>
      <c r="C81" s="5"/>
    </row>
    <row r="82" spans="1:3" ht="21" x14ac:dyDescent="0.25">
      <c r="A82" s="3" t="s">
        <v>36</v>
      </c>
      <c r="B82" s="4" cm="1">
        <f t="array" ref="B82">7 * 10^{-4}</f>
        <v>6.9999999999999999E-4</v>
      </c>
    </row>
    <row r="83" spans="1:3" ht="21" x14ac:dyDescent="0.25">
      <c r="A83" s="3" t="s">
        <v>75</v>
      </c>
      <c r="B83" s="4" cm="1">
        <f t="array" ref="B83">1 * 10^{-4}</f>
        <v>1E-4</v>
      </c>
    </row>
    <row r="84" spans="1:3" ht="21" x14ac:dyDescent="0.25">
      <c r="A84" s="3" t="s">
        <v>80</v>
      </c>
      <c r="B84" s="4" cm="1">
        <f t="array" ref="B84">3 * 10^{-5}</f>
        <v>3.0000000000000004E-5</v>
      </c>
    </row>
    <row r="85" spans="1:3" ht="21" x14ac:dyDescent="0.25">
      <c r="A85" s="3" t="s">
        <v>20</v>
      </c>
      <c r="B85" s="4" cm="1">
        <f t="array" ref="B85">1.4 * 10^{-6}</f>
        <v>1.3999999999999999E-6</v>
      </c>
    </row>
    <row r="86" spans="1:3" ht="21" x14ac:dyDescent="0.25">
      <c r="A86" s="3" t="s">
        <v>32</v>
      </c>
      <c r="B86" s="4" cm="1">
        <f t="array" ref="B86">9 * 10^{-7}</f>
        <v>8.9999999999999996E-7</v>
      </c>
    </row>
    <row r="87" spans="1:3" ht="21" x14ac:dyDescent="0.25">
      <c r="A87" s="3" t="s">
        <v>1</v>
      </c>
      <c r="B87" s="4">
        <v>5.5000000000000007E-10</v>
      </c>
    </row>
    <row r="88" spans="1:3" ht="21" x14ac:dyDescent="0.25">
      <c r="A88" s="3" t="s">
        <v>26</v>
      </c>
      <c r="B88" s="4" cm="1">
        <f t="array" ref="B88">2 * 10^{-10}</f>
        <v>2.0000000000000001E-10</v>
      </c>
    </row>
    <row r="89" spans="1:3" ht="21" x14ac:dyDescent="0.25">
      <c r="A89" s="3" t="s">
        <v>40</v>
      </c>
      <c r="B89" s="4" cm="1">
        <f t="array" ref="B89">4 * 10^{-13}</f>
        <v>4.0000000000000001E-13</v>
      </c>
    </row>
    <row r="90" spans="1:3" ht="21" x14ac:dyDescent="0.25">
      <c r="A90" s="3" t="s">
        <v>89</v>
      </c>
      <c r="B90" s="4">
        <v>0</v>
      </c>
      <c r="C90" s="5"/>
    </row>
    <row r="91" spans="1:3" ht="21" x14ac:dyDescent="0.25">
      <c r="A91" s="3" t="s">
        <v>90</v>
      </c>
      <c r="B91" s="4">
        <v>0</v>
      </c>
      <c r="C91" s="5"/>
    </row>
    <row r="92" spans="1:3" ht="21" x14ac:dyDescent="0.25">
      <c r="A92" s="3" t="s">
        <v>91</v>
      </c>
      <c r="B92" s="4">
        <v>0</v>
      </c>
      <c r="C92" s="5"/>
    </row>
    <row r="93" spans="1:3" ht="21" x14ac:dyDescent="0.25">
      <c r="A93" s="3" t="s">
        <v>92</v>
      </c>
      <c r="B93" s="4">
        <v>0</v>
      </c>
      <c r="C93" s="5"/>
    </row>
    <row r="94" spans="1:3" ht="21" x14ac:dyDescent="0.25">
      <c r="A94" s="3" t="s">
        <v>93</v>
      </c>
      <c r="B94" s="4">
        <v>0</v>
      </c>
      <c r="C94" s="5"/>
    </row>
    <row r="95" spans="1:3" ht="21" x14ac:dyDescent="0.25">
      <c r="A95" s="3" t="s">
        <v>94</v>
      </c>
      <c r="B95" s="4">
        <v>0</v>
      </c>
      <c r="C95" s="5"/>
    </row>
  </sheetData>
  <mergeCells count="9">
    <mergeCell ref="C74:C75"/>
    <mergeCell ref="C78:C81"/>
    <mergeCell ref="C90:C95"/>
    <mergeCell ref="C35:C36"/>
    <mergeCell ref="C33:C34"/>
    <mergeCell ref="C44:C45"/>
    <mergeCell ref="C47:C48"/>
    <mergeCell ref="C53:C54"/>
    <mergeCell ref="C59:C60"/>
  </mergeCells>
  <conditionalFormatting sqref="B1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06A6B-B184-4824-BB03-6173B1363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crust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moav</dc:creator>
  <cp:lastModifiedBy>Roee Asher</cp:lastModifiedBy>
  <dcterms:created xsi:type="dcterms:W3CDTF">2023-12-11T18:13:16Z</dcterms:created>
  <dcterms:modified xsi:type="dcterms:W3CDTF">2025-06-07T09:02:25Z</dcterms:modified>
</cp:coreProperties>
</file>